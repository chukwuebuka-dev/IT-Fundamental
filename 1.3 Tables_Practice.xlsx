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80d4f55978aef85/Documents/learning_Academy/Data_Analysis/Self_p_data-analysis/"/>
    </mc:Choice>
  </mc:AlternateContent>
  <xr:revisionPtr revIDLastSave="2" documentId="11_9DCAE401E02794CF34182BF8C79B7DF167C4DEF8" xr6:coauthVersionLast="47" xr6:coauthVersionMax="47" xr10:uidLastSave="{9E53EDD0-4141-447E-BD86-B03B7D132F23}"/>
  <bookViews>
    <workbookView xWindow="-110" yWindow="-110" windowWidth="19420" windowHeight="10300" activeTab="1" xr2:uid="{00000000-000D-0000-FFFF-FFFF00000000}"/>
  </bookViews>
  <sheets>
    <sheet name="Creating a Table" sheetId="2" r:id="rId1"/>
    <sheet name="Convert to Rang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2" l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</calcChain>
</file>

<file path=xl/sharedStrings.xml><?xml version="1.0" encoding="utf-8"?>
<sst xmlns="http://schemas.openxmlformats.org/spreadsheetml/2006/main" count="181" uniqueCount="138">
  <si>
    <t>Customer ID</t>
  </si>
  <si>
    <t>First Name</t>
  </si>
  <si>
    <t>Last Name</t>
  </si>
  <si>
    <t>Gender</t>
  </si>
  <si>
    <t># purchases</t>
  </si>
  <si>
    <t>City</t>
  </si>
  <si>
    <t>Country</t>
  </si>
  <si>
    <t>M</t>
  </si>
  <si>
    <t>F</t>
  </si>
  <si>
    <t>Egypt</t>
  </si>
  <si>
    <t>China</t>
  </si>
  <si>
    <t>Philippines</t>
  </si>
  <si>
    <t>Japan</t>
  </si>
  <si>
    <t>G94-8507</t>
  </si>
  <si>
    <t>Denyse</t>
  </si>
  <si>
    <t>Menicomb</t>
  </si>
  <si>
    <t>Xintian</t>
  </si>
  <si>
    <t>G32-7207</t>
  </si>
  <si>
    <t>Daven</t>
  </si>
  <si>
    <t>Shallcroff</t>
  </si>
  <si>
    <t>Sendangkemulian</t>
  </si>
  <si>
    <t>Indonesia</t>
  </si>
  <si>
    <t>Q99-0116</t>
  </si>
  <si>
    <t>Hastings</t>
  </si>
  <si>
    <t>Bevar</t>
  </si>
  <si>
    <t>Kandete</t>
  </si>
  <si>
    <t>Tanzania</t>
  </si>
  <si>
    <t>W15-8102</t>
  </si>
  <si>
    <t>Kile</t>
  </si>
  <si>
    <t>Melesk</t>
  </si>
  <si>
    <t>Juzhen</t>
  </si>
  <si>
    <t>B56-5019</t>
  </si>
  <si>
    <t>Marika</t>
  </si>
  <si>
    <t>Linstead</t>
  </si>
  <si>
    <t>Kedungwaru</t>
  </si>
  <si>
    <t>D27-4123</t>
  </si>
  <si>
    <t>Page</t>
  </si>
  <si>
    <t>Ibell</t>
  </si>
  <si>
    <t>Hurghada</t>
  </si>
  <si>
    <t>T58-2788</t>
  </si>
  <si>
    <t>Craggie</t>
  </si>
  <si>
    <t>Sclater</t>
  </si>
  <si>
    <t>R S</t>
  </si>
  <si>
    <t>India</t>
  </si>
  <si>
    <t>M00-4653</t>
  </si>
  <si>
    <t>Tadeas</t>
  </si>
  <si>
    <t>Craxford</t>
  </si>
  <si>
    <t>Stockholm</t>
  </si>
  <si>
    <t>Sweden</t>
  </si>
  <si>
    <t>L95-4056</t>
  </si>
  <si>
    <t>Latisha</t>
  </si>
  <si>
    <t>Gulliver</t>
  </si>
  <si>
    <t>Xuhang</t>
  </si>
  <si>
    <t>Y14-4098</t>
  </si>
  <si>
    <t>Evey</t>
  </si>
  <si>
    <t>Groocock</t>
  </si>
  <si>
    <t>Tpig</t>
  </si>
  <si>
    <t>Russia</t>
  </si>
  <si>
    <t>C85-8787</t>
  </si>
  <si>
    <t>Donnie</t>
  </si>
  <si>
    <t>Rankling</t>
  </si>
  <si>
    <t>Huangpu</t>
  </si>
  <si>
    <t>O13-5636</t>
  </si>
  <si>
    <t>Ellissa</t>
  </si>
  <si>
    <t>Sondland</t>
  </si>
  <si>
    <t>Lucaya</t>
  </si>
  <si>
    <t>Bahamas</t>
  </si>
  <si>
    <t>F70-7356</t>
  </si>
  <si>
    <t>Katinka</t>
  </si>
  <si>
    <t>Bentame</t>
  </si>
  <si>
    <t>Nantian</t>
  </si>
  <si>
    <t>D03-9484</t>
  </si>
  <si>
    <t>Nessi</t>
  </si>
  <si>
    <t>Fairey</t>
  </si>
  <si>
    <t>Gantang</t>
  </si>
  <si>
    <t>Z16-2908</t>
  </si>
  <si>
    <t>Rebe</t>
  </si>
  <si>
    <t>Maplesden</t>
  </si>
  <si>
    <t>Tena</t>
  </si>
  <si>
    <t>Ecuador</t>
  </si>
  <si>
    <t>V47-4052</t>
  </si>
  <si>
    <t>Reyna</t>
  </si>
  <si>
    <t>Struys</t>
  </si>
  <si>
    <t>Nayoro</t>
  </si>
  <si>
    <t>O89-6143</t>
  </si>
  <si>
    <t>Orville</t>
  </si>
  <si>
    <t>Dannell</t>
  </si>
  <si>
    <t>El Doncello</t>
  </si>
  <si>
    <t>Colombia</t>
  </si>
  <si>
    <t>I81-0833</t>
  </si>
  <si>
    <t>Pen</t>
  </si>
  <si>
    <t>Perri</t>
  </si>
  <si>
    <t>Pucheng</t>
  </si>
  <si>
    <t>K75-3253</t>
  </si>
  <si>
    <t>Franchot</t>
  </si>
  <si>
    <t>Sergant</t>
  </si>
  <si>
    <t>Cipancur</t>
  </si>
  <si>
    <t>O22-9596</t>
  </si>
  <si>
    <t>Jason</t>
  </si>
  <si>
    <t>Hindsberg</t>
  </si>
  <si>
    <t>Lanzhong</t>
  </si>
  <si>
    <t>A27-5216</t>
  </si>
  <si>
    <t>Jocelyne</t>
  </si>
  <si>
    <t>Sackett</t>
  </si>
  <si>
    <t>Xiangshan</t>
  </si>
  <si>
    <t>Z65-5413</t>
  </si>
  <si>
    <t>Jaquith</t>
  </si>
  <si>
    <t>Coulston</t>
  </si>
  <si>
    <t>Tongliao</t>
  </si>
  <si>
    <t>E07-4299</t>
  </si>
  <si>
    <t>Murielle</t>
  </si>
  <si>
    <t>Holah</t>
  </si>
  <si>
    <t>Zuyevka</t>
  </si>
  <si>
    <t>T11-6337</t>
  </si>
  <si>
    <t>Jerrome</t>
  </si>
  <si>
    <t>Zanini</t>
  </si>
  <si>
    <t>Zherdevka</t>
  </si>
  <si>
    <t>Mexico</t>
  </si>
  <si>
    <t>United States</t>
  </si>
  <si>
    <t>Ukraine</t>
  </si>
  <si>
    <t>Bolivia</t>
  </si>
  <si>
    <t>Dominican Republic</t>
  </si>
  <si>
    <t>Yemen</t>
  </si>
  <si>
    <t>Kikuchi</t>
  </si>
  <si>
    <t>Hondo Valle</t>
  </si>
  <si>
    <t>Al Hijrah</t>
  </si>
  <si>
    <t>Batan</t>
  </si>
  <si>
    <t>Heshui</t>
  </si>
  <si>
    <t>Erniusuokou</t>
  </si>
  <si>
    <t>Mukacheve</t>
  </si>
  <si>
    <t>Hegarsari</t>
  </si>
  <si>
    <t>Malunda</t>
  </si>
  <si>
    <t>Boston</t>
  </si>
  <si>
    <t>Cuauhtemoc</t>
  </si>
  <si>
    <t>Arani</t>
  </si>
  <si>
    <t>Cagbang</t>
  </si>
  <si>
    <t>Total $ spent</t>
  </si>
  <si>
    <t>$Spent/Purchase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</si>
</sst>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;[Red]\-&quot;$&quot;#,##0.00"/>
    <numFmt numFmtId="165" formatCode="&quot;₦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/>
    <xf numFmtId="164" fontId="19" fillId="0" borderId="0" xfId="0" applyNumberFormat="1" applyFont="1"/>
    <xf numFmtId="165" fontId="19" fillId="0" borderId="0" xfId="0" applyNumberFormat="1" applyFont="1"/>
    <xf numFmtId="165" fontId="18" fillId="0" borderId="0" xfId="0" applyNumberFormat="1" applyFont="1"/>
    <xf numFmtId="165" fontId="0" fillId="0" borderId="0" xfId="0" applyNumberFormat="1"/>
    <xf numFmtId="0" fontId="19" fillId="34" borderId="10" xfId="0" applyFont="1" applyFill="1" applyBorder="1"/>
    <xf numFmtId="0" fontId="19" fillId="0" borderId="10" xfId="0" applyFont="1" applyBorder="1"/>
    <xf numFmtId="0" fontId="18" fillId="33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/>
        <strike val="0"/>
        <u val="none"/>
        <color theme="7" tint="0.7999816888943144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₦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;[Red]\-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D3DC5F96-8F67-4A5B-B4B3-A9F616A4FE1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6E9AD9-CCBC-41AD-9BF6-D5B465A5A219}" name="Customer" displayName="Customer" ref="A1:I25" headerRowDxfId="18" dataDxfId="19">
  <autoFilter ref="A1:I25" xr:uid="{C36E9AD9-CCBC-41AD-9BF6-D5B465A5A219}"/>
  <tableColumns count="9">
    <tableColumn id="1" xr3:uid="{68BC53D7-6991-489C-8A7A-5AAA75A365F6}" name="Customer ID" totalsRowLabel="Total" dataDxfId="25" totalsRowDxfId="14"/>
    <tableColumn id="2" xr3:uid="{C63368DC-D57D-4043-A8DF-24B579E0F60E}" name="First Name" dataDxfId="24" totalsRowDxfId="13"/>
    <tableColumn id="3" xr3:uid="{597A78B5-6696-45C9-BFB4-8C6C6040609E}" name="Last Name" dataDxfId="23" totalsRowDxfId="12"/>
    <tableColumn id="4" xr3:uid="{676FB470-FA51-43B9-AF70-C8E244C49D1B}" name="Gender" dataDxfId="22" totalsRowDxfId="11"/>
    <tableColumn id="5" xr3:uid="{03E4B17F-6087-44E4-B6E8-2AE0A03DC723}" name="# purchases" dataDxfId="21" totalsRowDxfId="10"/>
    <tableColumn id="6" xr3:uid="{4A1A70D4-ED67-4A53-8794-8D8B82A09726}" name="Total $ spent" dataDxfId="17" totalsRowDxfId="9"/>
    <tableColumn id="9" xr3:uid="{00838CF7-2F46-4ED8-A2E7-1E578739F699}" name="$Spent/Purchase" dataDxfId="15" totalsRowDxfId="8">
      <calculatedColumnFormula>Customer[[#This Row],[Total $ spent]]/Customer[[#This Row],['# purchases]]</calculatedColumnFormula>
    </tableColumn>
    <tableColumn id="7" xr3:uid="{A02D66FC-D9A1-4B9A-92EC-7EAD40C192F1}" name="City" dataDxfId="16" totalsRowDxfId="7"/>
    <tableColumn id="8" xr3:uid="{E55BFC90-37A3-4002-8A27-6305D593E822}" name="Country" totalsRowFunction="count" dataDxfId="20" totalsRow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536905-AEEE-4C85-95EB-79A021CF8150}" name="Table3" displayName="Table3" ref="A1:B14" totalsRowShown="0" headerRowDxfId="0" dataDxfId="1" tableBorderDxfId="4">
  <autoFilter ref="A1:B14" xr:uid="{97536905-AEEE-4C85-95EB-79A021CF8150}"/>
  <tableColumns count="2">
    <tableColumn id="1" xr3:uid="{355ECF7E-10B5-4300-BA92-BF00416F6DB0}" name="City" dataDxfId="3"/>
    <tableColumn id="2" xr3:uid="{5E75C2FD-1BA5-431F-A5A2-6DF37E38DEB0}" name="Count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workbookViewId="0">
      <selection activeCell="L18" sqref="L18"/>
    </sheetView>
  </sheetViews>
  <sheetFormatPr defaultRowHeight="14.5" x14ac:dyDescent="0.35"/>
  <cols>
    <col min="1" max="1" width="14" customWidth="1"/>
    <col min="2" max="2" width="12.7265625" customWidth="1"/>
    <col min="3" max="3" width="12.26953125" customWidth="1"/>
    <col min="4" max="4" width="9.81640625" customWidth="1"/>
    <col min="5" max="6" width="13.453125" customWidth="1"/>
    <col min="7" max="7" width="17.453125" style="6" bestFit="1" customWidth="1"/>
    <col min="8" max="8" width="17" bestFit="1" customWidth="1"/>
    <col min="9" max="9" width="10.17968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136</v>
      </c>
      <c r="G1" s="5" t="s">
        <v>137</v>
      </c>
      <c r="H1" s="1" t="s">
        <v>5</v>
      </c>
      <c r="I1" s="1" t="s">
        <v>6</v>
      </c>
      <c r="J1" s="1"/>
    </row>
    <row r="2" spans="1:10" x14ac:dyDescent="0.35">
      <c r="A2" s="2" t="s">
        <v>13</v>
      </c>
      <c r="B2" s="2" t="s">
        <v>14</v>
      </c>
      <c r="C2" s="2" t="s">
        <v>15</v>
      </c>
      <c r="D2" s="2" t="s">
        <v>8</v>
      </c>
      <c r="E2" s="2">
        <v>1</v>
      </c>
      <c r="F2" s="3">
        <v>2089.2199999999998</v>
      </c>
      <c r="G2" s="4">
        <f>Customer[[#This Row],[Total $ spent]]/Customer[[#This Row],['# purchases]]</f>
        <v>2089.2199999999998</v>
      </c>
      <c r="H2" s="2" t="s">
        <v>16</v>
      </c>
      <c r="I2" s="2" t="s">
        <v>10</v>
      </c>
      <c r="J2" s="2"/>
    </row>
    <row r="3" spans="1:10" x14ac:dyDescent="0.35">
      <c r="A3" s="2" t="s">
        <v>17</v>
      </c>
      <c r="B3" s="2" t="s">
        <v>18</v>
      </c>
      <c r="C3" s="2" t="s">
        <v>19</v>
      </c>
      <c r="D3" s="2" t="s">
        <v>7</v>
      </c>
      <c r="E3" s="2">
        <v>20</v>
      </c>
      <c r="F3" s="3">
        <v>3537.28</v>
      </c>
      <c r="G3" s="4">
        <f>Customer[[#This Row],[Total $ spent]]/Customer[[#This Row],['# purchases]]</f>
        <v>176.864</v>
      </c>
      <c r="H3" s="2" t="s">
        <v>20</v>
      </c>
      <c r="I3" s="2" t="s">
        <v>21</v>
      </c>
      <c r="J3" s="2"/>
    </row>
    <row r="4" spans="1:10" x14ac:dyDescent="0.35">
      <c r="A4" s="2" t="s">
        <v>22</v>
      </c>
      <c r="B4" s="2" t="s">
        <v>23</v>
      </c>
      <c r="C4" s="2" t="s">
        <v>24</v>
      </c>
      <c r="D4" s="2" t="s">
        <v>7</v>
      </c>
      <c r="E4" s="2">
        <v>5</v>
      </c>
      <c r="F4" s="3">
        <v>3540.22</v>
      </c>
      <c r="G4" s="4">
        <f>Customer[[#This Row],[Total $ spent]]/Customer[[#This Row],['# purchases]]</f>
        <v>708.04399999999998</v>
      </c>
      <c r="H4" s="2" t="s">
        <v>25</v>
      </c>
      <c r="I4" s="2" t="s">
        <v>26</v>
      </c>
      <c r="J4" s="2"/>
    </row>
    <row r="5" spans="1:10" x14ac:dyDescent="0.35">
      <c r="A5" s="2" t="s">
        <v>27</v>
      </c>
      <c r="B5" s="2" t="s">
        <v>28</v>
      </c>
      <c r="C5" s="2" t="s">
        <v>29</v>
      </c>
      <c r="D5" s="2" t="s">
        <v>7</v>
      </c>
      <c r="E5" s="2">
        <v>56</v>
      </c>
      <c r="F5" s="3">
        <v>985</v>
      </c>
      <c r="G5" s="4">
        <f>Customer[[#This Row],[Total $ spent]]/Customer[[#This Row],['# purchases]]</f>
        <v>17.589285714285715</v>
      </c>
      <c r="H5" s="2" t="s">
        <v>30</v>
      </c>
      <c r="I5" s="2" t="s">
        <v>10</v>
      </c>
      <c r="J5" s="2"/>
    </row>
    <row r="6" spans="1:10" x14ac:dyDescent="0.35">
      <c r="A6" s="2" t="s">
        <v>31</v>
      </c>
      <c r="B6" s="2" t="s">
        <v>32</v>
      </c>
      <c r="C6" s="2" t="s">
        <v>33</v>
      </c>
      <c r="D6" s="2" t="s">
        <v>8</v>
      </c>
      <c r="E6" s="2">
        <v>69</v>
      </c>
      <c r="F6" s="3">
        <v>3997.18</v>
      </c>
      <c r="G6" s="4">
        <f>Customer[[#This Row],[Total $ spent]]/Customer[[#This Row],['# purchases]]</f>
        <v>57.930144927536233</v>
      </c>
      <c r="H6" s="2" t="s">
        <v>34</v>
      </c>
      <c r="I6" s="2" t="s">
        <v>21</v>
      </c>
      <c r="J6" s="2"/>
    </row>
    <row r="7" spans="1:10" x14ac:dyDescent="0.35">
      <c r="A7" s="2" t="s">
        <v>35</v>
      </c>
      <c r="B7" s="2" t="s">
        <v>36</v>
      </c>
      <c r="C7" s="2" t="s">
        <v>37</v>
      </c>
      <c r="D7" s="2" t="s">
        <v>7</v>
      </c>
      <c r="E7" s="2">
        <v>73</v>
      </c>
      <c r="F7" s="3">
        <v>2082.75</v>
      </c>
      <c r="G7" s="4">
        <f>Customer[[#This Row],[Total $ spent]]/Customer[[#This Row],['# purchases]]</f>
        <v>28.530821917808218</v>
      </c>
      <c r="H7" s="2" t="s">
        <v>38</v>
      </c>
      <c r="I7" s="2" t="s">
        <v>9</v>
      </c>
      <c r="J7" s="2"/>
    </row>
    <row r="8" spans="1:10" x14ac:dyDescent="0.35">
      <c r="A8" s="2" t="s">
        <v>39</v>
      </c>
      <c r="B8" s="2" t="s">
        <v>40</v>
      </c>
      <c r="C8" s="2" t="s">
        <v>41</v>
      </c>
      <c r="D8" s="2" t="s">
        <v>7</v>
      </c>
      <c r="E8" s="2">
        <v>89</v>
      </c>
      <c r="F8" s="3">
        <v>1421.4</v>
      </c>
      <c r="G8" s="4">
        <f>Customer[[#This Row],[Total $ spent]]/Customer[[#This Row],['# purchases]]</f>
        <v>15.970786516853934</v>
      </c>
      <c r="H8" s="2" t="s">
        <v>42</v>
      </c>
      <c r="I8" s="2" t="s">
        <v>43</v>
      </c>
      <c r="J8" s="2"/>
    </row>
    <row r="9" spans="1:10" x14ac:dyDescent="0.35">
      <c r="A9" s="2" t="s">
        <v>44</v>
      </c>
      <c r="B9" s="2" t="s">
        <v>45</v>
      </c>
      <c r="C9" s="2" t="s">
        <v>46</v>
      </c>
      <c r="D9" s="2" t="s">
        <v>7</v>
      </c>
      <c r="E9" s="2">
        <v>48</v>
      </c>
      <c r="F9" s="3">
        <v>4026.28</v>
      </c>
      <c r="G9" s="4">
        <f>Customer[[#This Row],[Total $ spent]]/Customer[[#This Row],['# purchases]]</f>
        <v>83.880833333333342</v>
      </c>
      <c r="H9" s="2" t="s">
        <v>47</v>
      </c>
      <c r="I9" s="2" t="s">
        <v>48</v>
      </c>
      <c r="J9" s="2"/>
    </row>
    <row r="10" spans="1:10" x14ac:dyDescent="0.35">
      <c r="A10" s="2" t="s">
        <v>49</v>
      </c>
      <c r="B10" s="2" t="s">
        <v>50</v>
      </c>
      <c r="C10" s="2" t="s">
        <v>51</v>
      </c>
      <c r="D10" s="2" t="s">
        <v>8</v>
      </c>
      <c r="E10" s="2">
        <v>61</v>
      </c>
      <c r="F10" s="3">
        <v>4286.32</v>
      </c>
      <c r="G10" s="4">
        <f>Customer[[#This Row],[Total $ spent]]/Customer[[#This Row],['# purchases]]</f>
        <v>70.267540983606551</v>
      </c>
      <c r="H10" s="2" t="s">
        <v>52</v>
      </c>
      <c r="I10" s="2" t="s">
        <v>10</v>
      </c>
      <c r="J10" s="2"/>
    </row>
    <row r="11" spans="1:10" x14ac:dyDescent="0.35">
      <c r="A11" s="2" t="s">
        <v>53</v>
      </c>
      <c r="B11" s="2" t="s">
        <v>54</v>
      </c>
      <c r="C11" s="2" t="s">
        <v>55</v>
      </c>
      <c r="D11" s="2" t="s">
        <v>8</v>
      </c>
      <c r="E11" s="2">
        <v>45</v>
      </c>
      <c r="F11" s="3">
        <v>2780.05</v>
      </c>
      <c r="G11" s="4">
        <f>Customer[[#This Row],[Total $ spent]]/Customer[[#This Row],['# purchases]]</f>
        <v>61.778888888888893</v>
      </c>
      <c r="H11" s="2" t="s">
        <v>56</v>
      </c>
      <c r="I11" s="2" t="s">
        <v>57</v>
      </c>
      <c r="J11" s="2"/>
    </row>
    <row r="12" spans="1:10" x14ac:dyDescent="0.35">
      <c r="A12" s="2" t="s">
        <v>58</v>
      </c>
      <c r="B12" s="2" t="s">
        <v>59</v>
      </c>
      <c r="C12" s="2" t="s">
        <v>60</v>
      </c>
      <c r="D12" s="2" t="s">
        <v>7</v>
      </c>
      <c r="E12" s="2">
        <v>17</v>
      </c>
      <c r="F12" s="3">
        <v>2933.5</v>
      </c>
      <c r="G12" s="4">
        <f>Customer[[#This Row],[Total $ spent]]/Customer[[#This Row],['# purchases]]</f>
        <v>172.55882352941177</v>
      </c>
      <c r="H12" s="2" t="s">
        <v>61</v>
      </c>
      <c r="I12" s="2" t="s">
        <v>10</v>
      </c>
      <c r="J12" s="2"/>
    </row>
    <row r="13" spans="1:10" x14ac:dyDescent="0.35">
      <c r="A13" s="2" t="s">
        <v>62</v>
      </c>
      <c r="B13" s="2" t="s">
        <v>63</v>
      </c>
      <c r="C13" s="2" t="s">
        <v>64</v>
      </c>
      <c r="D13" s="2" t="s">
        <v>8</v>
      </c>
      <c r="E13" s="2">
        <v>35</v>
      </c>
      <c r="F13" s="3">
        <v>4836.58</v>
      </c>
      <c r="G13" s="4">
        <f>Customer[[#This Row],[Total $ spent]]/Customer[[#This Row],['# purchases]]</f>
        <v>138.18799999999999</v>
      </c>
      <c r="H13" s="2" t="s">
        <v>65</v>
      </c>
      <c r="I13" s="2" t="s">
        <v>66</v>
      </c>
      <c r="J13" s="2"/>
    </row>
    <row r="14" spans="1:10" x14ac:dyDescent="0.35">
      <c r="A14" s="2" t="s">
        <v>67</v>
      </c>
      <c r="B14" s="2" t="s">
        <v>68</v>
      </c>
      <c r="C14" s="2" t="s">
        <v>69</v>
      </c>
      <c r="D14" s="2" t="s">
        <v>8</v>
      </c>
      <c r="E14" s="2">
        <v>50</v>
      </c>
      <c r="F14" s="3">
        <v>3017.78</v>
      </c>
      <c r="G14" s="4">
        <f>Customer[[#This Row],[Total $ spent]]/Customer[[#This Row],['# purchases]]</f>
        <v>60.355600000000003</v>
      </c>
      <c r="H14" s="2" t="s">
        <v>70</v>
      </c>
      <c r="I14" s="2" t="s">
        <v>10</v>
      </c>
      <c r="J14" s="2"/>
    </row>
    <row r="15" spans="1:10" x14ac:dyDescent="0.35">
      <c r="A15" s="2" t="s">
        <v>71</v>
      </c>
      <c r="B15" s="2" t="s">
        <v>72</v>
      </c>
      <c r="C15" s="2" t="s">
        <v>73</v>
      </c>
      <c r="D15" s="2" t="s">
        <v>8</v>
      </c>
      <c r="E15" s="2">
        <v>57</v>
      </c>
      <c r="F15" s="3">
        <v>3190.33</v>
      </c>
      <c r="G15" s="4">
        <f>Customer[[#This Row],[Total $ spent]]/Customer[[#This Row],['# purchases]]</f>
        <v>55.970701754385964</v>
      </c>
      <c r="H15" s="2" t="s">
        <v>74</v>
      </c>
      <c r="I15" s="2" t="s">
        <v>10</v>
      </c>
      <c r="J15" s="2"/>
    </row>
    <row r="16" spans="1:10" x14ac:dyDescent="0.35">
      <c r="A16" s="2" t="s">
        <v>75</v>
      </c>
      <c r="B16" s="2" t="s">
        <v>76</v>
      </c>
      <c r="C16" s="2" t="s">
        <v>77</v>
      </c>
      <c r="D16" s="2" t="s">
        <v>8</v>
      </c>
      <c r="E16" s="2">
        <v>50</v>
      </c>
      <c r="F16" s="3">
        <v>2868.79</v>
      </c>
      <c r="G16" s="4">
        <f>Customer[[#This Row],[Total $ spent]]/Customer[[#This Row],['# purchases]]</f>
        <v>57.375799999999998</v>
      </c>
      <c r="H16" s="2" t="s">
        <v>78</v>
      </c>
      <c r="I16" s="2" t="s">
        <v>79</v>
      </c>
      <c r="J16" s="2"/>
    </row>
    <row r="17" spans="1:10" x14ac:dyDescent="0.35">
      <c r="A17" s="2" t="s">
        <v>80</v>
      </c>
      <c r="B17" s="2" t="s">
        <v>81</v>
      </c>
      <c r="C17" s="2" t="s">
        <v>82</v>
      </c>
      <c r="D17" s="2" t="s">
        <v>8</v>
      </c>
      <c r="E17" s="2">
        <v>61</v>
      </c>
      <c r="F17" s="3">
        <v>1974.51</v>
      </c>
      <c r="G17" s="4">
        <f>Customer[[#This Row],[Total $ spent]]/Customer[[#This Row],['# purchases]]</f>
        <v>32.369016393442621</v>
      </c>
      <c r="H17" s="2" t="s">
        <v>83</v>
      </c>
      <c r="I17" s="2" t="s">
        <v>12</v>
      </c>
      <c r="J17" s="2"/>
    </row>
    <row r="18" spans="1:10" x14ac:dyDescent="0.35">
      <c r="A18" s="2" t="s">
        <v>84</v>
      </c>
      <c r="B18" s="2" t="s">
        <v>85</v>
      </c>
      <c r="C18" s="2" t="s">
        <v>86</v>
      </c>
      <c r="D18" s="2" t="s">
        <v>7</v>
      </c>
      <c r="E18" s="2">
        <v>44</v>
      </c>
      <c r="F18" s="3">
        <v>684.7</v>
      </c>
      <c r="G18" s="4">
        <f>Customer[[#This Row],[Total $ spent]]/Customer[[#This Row],['# purchases]]</f>
        <v>15.561363636363637</v>
      </c>
      <c r="H18" s="2" t="s">
        <v>87</v>
      </c>
      <c r="I18" s="2" t="s">
        <v>88</v>
      </c>
      <c r="J18" s="2"/>
    </row>
    <row r="19" spans="1:10" x14ac:dyDescent="0.35">
      <c r="A19" s="2" t="s">
        <v>89</v>
      </c>
      <c r="B19" s="2" t="s">
        <v>90</v>
      </c>
      <c r="C19" s="2" t="s">
        <v>91</v>
      </c>
      <c r="D19" s="2" t="s">
        <v>7</v>
      </c>
      <c r="E19" s="2">
        <v>92</v>
      </c>
      <c r="F19" s="3">
        <v>2262.31</v>
      </c>
      <c r="G19" s="4">
        <f>Customer[[#This Row],[Total $ spent]]/Customer[[#This Row],['# purchases]]</f>
        <v>24.590326086956519</v>
      </c>
      <c r="H19" s="2" t="s">
        <v>92</v>
      </c>
      <c r="I19" s="2" t="s">
        <v>10</v>
      </c>
      <c r="J19" s="2"/>
    </row>
    <row r="20" spans="1:10" x14ac:dyDescent="0.35">
      <c r="A20" s="2" t="s">
        <v>93</v>
      </c>
      <c r="B20" s="2" t="s">
        <v>94</v>
      </c>
      <c r="C20" s="2" t="s">
        <v>95</v>
      </c>
      <c r="D20" s="2" t="s">
        <v>7</v>
      </c>
      <c r="E20" s="2">
        <v>86</v>
      </c>
      <c r="F20" s="3">
        <v>4671.67</v>
      </c>
      <c r="G20" s="4">
        <f>Customer[[#This Row],[Total $ spent]]/Customer[[#This Row],['# purchases]]</f>
        <v>54.321744186046516</v>
      </c>
      <c r="H20" s="2" t="s">
        <v>96</v>
      </c>
      <c r="I20" s="2" t="s">
        <v>21</v>
      </c>
      <c r="J20" s="2"/>
    </row>
    <row r="21" spans="1:10" x14ac:dyDescent="0.35">
      <c r="A21" s="2" t="s">
        <v>97</v>
      </c>
      <c r="B21" s="2" t="s">
        <v>98</v>
      </c>
      <c r="C21" s="2" t="s">
        <v>99</v>
      </c>
      <c r="D21" s="2" t="s">
        <v>7</v>
      </c>
      <c r="E21" s="2">
        <v>60</v>
      </c>
      <c r="F21" s="3">
        <v>1264.27</v>
      </c>
      <c r="G21" s="4">
        <f>Customer[[#This Row],[Total $ spent]]/Customer[[#This Row],['# purchases]]</f>
        <v>21.071166666666667</v>
      </c>
      <c r="H21" s="2" t="s">
        <v>100</v>
      </c>
      <c r="I21" s="2" t="s">
        <v>10</v>
      </c>
      <c r="J21" s="2"/>
    </row>
    <row r="22" spans="1:10" x14ac:dyDescent="0.35">
      <c r="A22" s="2" t="s">
        <v>101</v>
      </c>
      <c r="B22" s="2" t="s">
        <v>102</v>
      </c>
      <c r="C22" s="2" t="s">
        <v>103</v>
      </c>
      <c r="D22" s="2" t="s">
        <v>8</v>
      </c>
      <c r="E22" s="2">
        <v>11</v>
      </c>
      <c r="F22" s="3">
        <v>367.18</v>
      </c>
      <c r="G22" s="4">
        <f>Customer[[#This Row],[Total $ spent]]/Customer[[#This Row],['# purchases]]</f>
        <v>33.380000000000003</v>
      </c>
      <c r="H22" s="2" t="s">
        <v>104</v>
      </c>
      <c r="I22" s="2" t="s">
        <v>10</v>
      </c>
      <c r="J22" s="2"/>
    </row>
    <row r="23" spans="1:10" x14ac:dyDescent="0.35">
      <c r="A23" s="2" t="s">
        <v>105</v>
      </c>
      <c r="B23" s="2" t="s">
        <v>106</v>
      </c>
      <c r="C23" s="2" t="s">
        <v>107</v>
      </c>
      <c r="D23" s="2" t="s">
        <v>8</v>
      </c>
      <c r="E23" s="2">
        <v>62</v>
      </c>
      <c r="F23" s="3">
        <v>4333.78</v>
      </c>
      <c r="G23" s="4">
        <f>Customer[[#This Row],[Total $ spent]]/Customer[[#This Row],['# purchases]]</f>
        <v>69.89967741935483</v>
      </c>
      <c r="H23" s="2" t="s">
        <v>108</v>
      </c>
      <c r="I23" s="2" t="s">
        <v>10</v>
      </c>
      <c r="J23" s="2"/>
    </row>
    <row r="24" spans="1:10" x14ac:dyDescent="0.35">
      <c r="A24" s="2" t="s">
        <v>109</v>
      </c>
      <c r="B24" s="2" t="s">
        <v>110</v>
      </c>
      <c r="C24" s="2" t="s">
        <v>111</v>
      </c>
      <c r="D24" s="2" t="s">
        <v>8</v>
      </c>
      <c r="E24" s="2">
        <v>1</v>
      </c>
      <c r="F24" s="3">
        <v>935.82</v>
      </c>
      <c r="G24" s="4">
        <f>Customer[[#This Row],[Total $ spent]]/Customer[[#This Row],['# purchases]]</f>
        <v>935.82</v>
      </c>
      <c r="H24" s="2" t="s">
        <v>112</v>
      </c>
      <c r="I24" s="2" t="s">
        <v>57</v>
      </c>
      <c r="J24" s="2"/>
    </row>
    <row r="25" spans="1:10" x14ac:dyDescent="0.35">
      <c r="A25" s="2" t="s">
        <v>113</v>
      </c>
      <c r="B25" s="2" t="s">
        <v>114</v>
      </c>
      <c r="C25" s="2" t="s">
        <v>115</v>
      </c>
      <c r="D25" s="2" t="s">
        <v>7</v>
      </c>
      <c r="E25" s="2">
        <v>52</v>
      </c>
      <c r="F25" s="3">
        <v>1985.78</v>
      </c>
      <c r="G25" s="4">
        <f>Customer[[#This Row],[Total $ spent]]/Customer[[#This Row],['# purchases]]</f>
        <v>38.18807692307692</v>
      </c>
      <c r="H25" s="2" t="s">
        <v>116</v>
      </c>
      <c r="I25" s="2" t="s">
        <v>57</v>
      </c>
      <c r="J25" s="2"/>
    </row>
    <row r="27" spans="1:10" x14ac:dyDescent="0.35">
      <c r="I27" t="str">
        <f>Customer[[#Headers],[Last Name]]</f>
        <v>Last Name</v>
      </c>
    </row>
  </sheetData>
  <conditionalFormatting sqref="F1:F1048576">
    <cfRule type="cellIs" priority="2" operator="lessThan">
      <formula>500</formula>
    </cfRule>
  </conditionalFormatting>
  <conditionalFormatting sqref="I1:I1048576">
    <cfRule type="duplicateValues" dxfId="5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abSelected="1" workbookViewId="0">
      <selection activeCell="G13" sqref="G13"/>
    </sheetView>
  </sheetViews>
  <sheetFormatPr defaultRowHeight="14.5" x14ac:dyDescent="0.35"/>
  <cols>
    <col min="1" max="1" width="16.54296875" bestFit="1" customWidth="1"/>
    <col min="2" max="2" width="18.81640625" bestFit="1" customWidth="1"/>
  </cols>
  <sheetData>
    <row r="1" spans="1:2" x14ac:dyDescent="0.35">
      <c r="A1" s="9" t="s">
        <v>5</v>
      </c>
      <c r="B1" s="9" t="s">
        <v>6</v>
      </c>
    </row>
    <row r="2" spans="1:2" x14ac:dyDescent="0.35">
      <c r="A2" s="7" t="s">
        <v>123</v>
      </c>
      <c r="B2" s="7" t="s">
        <v>12</v>
      </c>
    </row>
    <row r="3" spans="1:2" x14ac:dyDescent="0.35">
      <c r="A3" s="8" t="s">
        <v>124</v>
      </c>
      <c r="B3" s="8" t="s">
        <v>121</v>
      </c>
    </row>
    <row r="4" spans="1:2" x14ac:dyDescent="0.35">
      <c r="A4" s="7" t="s">
        <v>130</v>
      </c>
      <c r="B4" s="7" t="s">
        <v>21</v>
      </c>
    </row>
    <row r="5" spans="1:2" x14ac:dyDescent="0.35">
      <c r="A5" s="8" t="s">
        <v>125</v>
      </c>
      <c r="B5" s="8" t="s">
        <v>122</v>
      </c>
    </row>
    <row r="6" spans="1:2" x14ac:dyDescent="0.35">
      <c r="A6" s="7" t="s">
        <v>126</v>
      </c>
      <c r="B6" s="7" t="s">
        <v>11</v>
      </c>
    </row>
    <row r="7" spans="1:2" x14ac:dyDescent="0.35">
      <c r="A7" s="8" t="s">
        <v>128</v>
      </c>
      <c r="B7" s="8" t="s">
        <v>10</v>
      </c>
    </row>
    <row r="8" spans="1:2" x14ac:dyDescent="0.35">
      <c r="A8" s="7" t="s">
        <v>129</v>
      </c>
      <c r="B8" s="7" t="s">
        <v>119</v>
      </c>
    </row>
    <row r="9" spans="1:2" x14ac:dyDescent="0.35">
      <c r="A9" s="8" t="s">
        <v>131</v>
      </c>
      <c r="B9" s="8" t="s">
        <v>21</v>
      </c>
    </row>
    <row r="10" spans="1:2" x14ac:dyDescent="0.35">
      <c r="A10" s="7" t="s">
        <v>132</v>
      </c>
      <c r="B10" s="7" t="s">
        <v>118</v>
      </c>
    </row>
    <row r="11" spans="1:2" x14ac:dyDescent="0.35">
      <c r="A11" s="8" t="s">
        <v>133</v>
      </c>
      <c r="B11" s="8" t="s">
        <v>117</v>
      </c>
    </row>
    <row r="12" spans="1:2" x14ac:dyDescent="0.35">
      <c r="A12" s="7" t="s">
        <v>134</v>
      </c>
      <c r="B12" s="7" t="s">
        <v>120</v>
      </c>
    </row>
    <row r="13" spans="1:2" x14ac:dyDescent="0.35">
      <c r="A13" s="8" t="s">
        <v>135</v>
      </c>
      <c r="B13" s="8" t="s">
        <v>11</v>
      </c>
    </row>
    <row r="14" spans="1:2" x14ac:dyDescent="0.35">
      <c r="A14" s="7" t="s">
        <v>127</v>
      </c>
      <c r="B14" s="7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Creating a Table</vt:lpstr>
      <vt:lpstr>Convert to 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Jasmeen Kaur</dc:creator>
  <cp:lastModifiedBy>chukwuebuka iwezor</cp:lastModifiedBy>
  <dcterms:created xsi:type="dcterms:W3CDTF">2021-01-13T21:09:23Z</dcterms:created>
  <dcterms:modified xsi:type="dcterms:W3CDTF">2026-09-18T12:43:15Z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f2ea38-542c-4b75-bd7d-582ec36a519f_Enabled">
    <vt:lpwstr>true</vt:lpwstr>
  </property>
  <property fmtid="{D5CDD505-2E9C-101B-9397-08002B2CF9AE}" pid="3" name="MSIP_Label_abf2ea38-542c-4b75-bd7d-582ec36a519f_SetDate">
    <vt:lpwstr>2021-10-26T21:20:44Z</vt:lpwstr>
  </property>
  <property fmtid="{D5CDD505-2E9C-101B-9397-08002B2CF9AE}" pid="4" name="MSIP_Label_abf2ea38-542c-4b75-bd7d-582ec36a519f_Method">
    <vt:lpwstr>Standard</vt:lpwstr>
  </property>
  <property fmtid="{D5CDD505-2E9C-101B-9397-08002B2CF9AE}" pid="5" name="MSIP_Label_abf2ea38-542c-4b75-bd7d-582ec36a519f_Name">
    <vt:lpwstr>Protected A</vt:lpwstr>
  </property>
  <property fmtid="{D5CDD505-2E9C-101B-9397-08002B2CF9AE}" pid="6" name="MSIP_Label_abf2ea38-542c-4b75-bd7d-582ec36a519f_SiteId">
    <vt:lpwstr>2bb51c06-af9b-42c5-8bf5-3c3b7b10850b</vt:lpwstr>
  </property>
  <property fmtid="{D5CDD505-2E9C-101B-9397-08002B2CF9AE}" pid="7" name="MSIP_Label_abf2ea38-542c-4b75-bd7d-582ec36a519f_ActionId">
    <vt:lpwstr>29dd76aa-cdc7-4353-8c97-4410656e4451</vt:lpwstr>
  </property>
  <property fmtid="{D5CDD505-2E9C-101B-9397-08002B2CF9AE}" pid="8" name="MSIP_Label_abf2ea38-542c-4b75-bd7d-582ec36a519f_ContentBits">
    <vt:lpwstr>2</vt:lpwstr>
  </property>
</Properties>
</file>